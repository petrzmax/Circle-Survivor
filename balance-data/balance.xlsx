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apons" sheetId="1" r:id="rId5"/>
    <sheet state="visible" name="Items" sheetId="2" r:id="rId6"/>
    <sheet state="visible" name="Enemies" sheetId="3" r:id="rId7"/>
    <sheet state="visible" name="Balance" sheetId="4" r:id="rId8"/>
    <sheet state="visible" name="Characters" sheetId="5" r:id="rId9"/>
    <sheet state="visible" name="Waves" sheetId="6" r:id="rId10"/>
  </sheets>
  <definedNames>
    <definedName hidden="1" localSheetId="0" name="_xlnm._FilterDatabase">Weapons!$A$1:$T$17</definedName>
    <definedName hidden="1" localSheetId="1" name="_xlnm._FilterDatabase">Items!$A$1:$V$29</definedName>
    <definedName hidden="1" localSheetId="2" name="_xlnm._FilterDatabase">Enemies!$A$1:$T$18</definedName>
    <definedName hidden="1" localSheetId="3" name="_xlnm._FilterDatabase">Balance!$A$1:$B$48</definedName>
    <definedName hidden="1" localSheetId="4" name="_xlnm._FilterDatabase">Characters!$A$1:$F$4</definedName>
    <definedName hidden="1" localSheetId="5" name="_xlnm._FilterDatabase">Waves!$A$1:$L$12</definedName>
  </definedNames>
  <calcPr/>
</workbook>
</file>

<file path=xl/sharedStrings.xml><?xml version="1.0" encoding="utf-8"?>
<sst xmlns="http://schemas.openxmlformats.org/spreadsheetml/2006/main" count="244" uniqueCount="189">
  <si>
    <t>type</t>
  </si>
  <si>
    <t>price</t>
  </si>
  <si>
    <t>minWave</t>
  </si>
  <si>
    <t>cooldown</t>
  </si>
  <si>
    <t>damage</t>
  </si>
  <si>
    <t>bulletSpeed</t>
  </si>
  <si>
    <t>bulletCount</t>
  </si>
  <si>
    <t>spread</t>
  </si>
  <si>
    <t>range</t>
  </si>
  <si>
    <t>weaponCategory</t>
  </si>
  <si>
    <t>projectileMass</t>
  </si>
  <si>
    <t>projectileType</t>
  </si>
  <si>
    <t>pierceCount</t>
  </si>
  <si>
    <t>explosive</t>
  </si>
  <si>
    <t>explosionRadius</t>
  </si>
  <si>
    <t>explosionEffect</t>
  </si>
  <si>
    <t>bulletRadius</t>
  </si>
  <si>
    <t>shortRange</t>
  </si>
  <si>
    <t>maxDistance</t>
  </si>
  <si>
    <t>explosiveRange</t>
  </si>
  <si>
    <t>DPS</t>
  </si>
  <si>
    <t>price/dps</t>
  </si>
  <si>
    <t>pistol</t>
  </si>
  <si>
    <t>gun</t>
  </si>
  <si>
    <t>standard</t>
  </si>
  <si>
    <t>smg</t>
  </si>
  <si>
    <t>mines</t>
  </si>
  <si>
    <t>deployable</t>
  </si>
  <si>
    <t>shotgun</t>
  </si>
  <si>
    <t>laser</t>
  </si>
  <si>
    <t>sword</t>
  </si>
  <si>
    <t>melee</t>
  </si>
  <si>
    <t>sniper</t>
  </si>
  <si>
    <t>flamethrower</t>
  </si>
  <si>
    <t>special</t>
  </si>
  <si>
    <t>bazooka</t>
  </si>
  <si>
    <t>rocket</t>
  </si>
  <si>
    <t>banana</t>
  </si>
  <si>
    <t>grenade</t>
  </si>
  <si>
    <t>scythe</t>
  </si>
  <si>
    <t>minigun</t>
  </si>
  <si>
    <t>holyGrenade</t>
  </si>
  <si>
    <t>holy</t>
  </si>
  <si>
    <t>crossbow</t>
  </si>
  <si>
    <t>crossbowBolt</t>
  </si>
  <si>
    <t>nuke</t>
  </si>
  <si>
    <t>minibanana</t>
  </si>
  <si>
    <t>miniBanana</t>
  </si>
  <si>
    <t>id</t>
  </si>
  <si>
    <t>armor</t>
  </si>
  <si>
    <t>dodge</t>
  </si>
  <si>
    <t>thorns</t>
  </si>
  <si>
    <t>maxHp</t>
  </si>
  <si>
    <t>regen</t>
  </si>
  <si>
    <t>damageMultiplier</t>
  </si>
  <si>
    <t>critChance</t>
  </si>
  <si>
    <t>critDamage</t>
  </si>
  <si>
    <t>lifesteal</t>
  </si>
  <si>
    <t>speedMultiplier</t>
  </si>
  <si>
    <t>pickupRange</t>
  </si>
  <si>
    <t>luck</t>
  </si>
  <si>
    <t>xpMultiplier</t>
  </si>
  <si>
    <t>goldMultiplier</t>
  </si>
  <si>
    <t>attackSpeedMultiplier</t>
  </si>
  <si>
    <t>attackRange</t>
  </si>
  <si>
    <t>knockback</t>
  </si>
  <si>
    <t>maxWeapons</t>
  </si>
  <si>
    <t>ironArmor</t>
  </si>
  <si>
    <t>titaniumPlate</t>
  </si>
  <si>
    <t>dodgeCloak</t>
  </si>
  <si>
    <t>thornMail</t>
  </si>
  <si>
    <t>heartContainer</t>
  </si>
  <si>
    <t>regenRing</t>
  </si>
  <si>
    <t>damageGem</t>
  </si>
  <si>
    <t>critGloves</t>
  </si>
  <si>
    <t>critDagger</t>
  </si>
  <si>
    <t>vampireFang</t>
  </si>
  <si>
    <t>coldWar</t>
  </si>
  <si>
    <t>speedBoots</t>
  </si>
  <si>
    <t>magnet</t>
  </si>
  <si>
    <t>luckyClover</t>
  </si>
  <si>
    <t>xpBoost</t>
  </si>
  <si>
    <t>goldBoost</t>
  </si>
  <si>
    <t>attackSpeedGem</t>
  </si>
  <si>
    <t>scope</t>
  </si>
  <si>
    <t>laserSight</t>
  </si>
  <si>
    <t>allStats</t>
  </si>
  <si>
    <t>bolidKubicy</t>
  </si>
  <si>
    <t>kielichAlicji</t>
  </si>
  <si>
    <t>koronaPodroznika</t>
  </si>
  <si>
    <t>kierbceWierzbickiego</t>
  </si>
  <si>
    <t>kijBejsbolowyByczka</t>
  </si>
  <si>
    <t>midasHand</t>
  </si>
  <si>
    <t>thirdHand</t>
  </si>
  <si>
    <t>boarHoof</t>
  </si>
  <si>
    <t>radius</t>
  </si>
  <si>
    <t>speed</t>
  </si>
  <si>
    <t>hp</t>
  </si>
  <si>
    <t>contactDamage</t>
  </si>
  <si>
    <t>xpValue</t>
  </si>
  <si>
    <t>goldValue</t>
  </si>
  <si>
    <t>canShoot</t>
  </si>
  <si>
    <t>bulletDamage</t>
  </si>
  <si>
    <t>attackPatterns</t>
  </si>
  <si>
    <t>phasing</t>
  </si>
  <si>
    <t>explodeOnDeath</t>
  </si>
  <si>
    <t>explosionDamage</t>
  </si>
  <si>
    <t>zigzag</t>
  </si>
  <si>
    <t>splitOnDeath</t>
  </si>
  <si>
    <t>splitCount</t>
  </si>
  <si>
    <t>isBoss</t>
  </si>
  <si>
    <t>basic</t>
  </si>
  <si>
    <t>fast</t>
  </si>
  <si>
    <t>tank</t>
  </si>
  <si>
    <t>single</t>
  </si>
  <si>
    <t>swarm</t>
  </si>
  <si>
    <t>sprinter</t>
  </si>
  <si>
    <t>brute</t>
  </si>
  <si>
    <t>ghost</t>
  </si>
  <si>
    <t>exploder</t>
  </si>
  <si>
    <t>splitter</t>
  </si>
  <si>
    <t>stomper</t>
  </si>
  <si>
    <t>shockwave</t>
  </si>
  <si>
    <t>boss</t>
  </si>
  <si>
    <t>single,double,spread</t>
  </si>
  <si>
    <t>bossSwarm</t>
  </si>
  <si>
    <t>single,around,spread</t>
  </si>
  <si>
    <t>bossTank</t>
  </si>
  <si>
    <t>single,double,shockwave</t>
  </si>
  <si>
    <t>bossSpeed</t>
  </si>
  <si>
    <t>single,spread</t>
  </si>
  <si>
    <t>bossExploder</t>
  </si>
  <si>
    <t>spread,around,shockwave</t>
  </si>
  <si>
    <t>bossGhost</t>
  </si>
  <si>
    <t>single,double,spread,around</t>
  </si>
  <si>
    <t>path</t>
  </si>
  <si>
    <t>value</t>
  </si>
  <si>
    <t>physics.separationForce</t>
  </si>
  <si>
    <t>physics.massAreaInfluence</t>
  </si>
  <si>
    <t>enemy.scalingFactor</t>
  </si>
  <si>
    <t>enemy.contactKnockback</t>
  </si>
  <si>
    <t>enemy.knockbackPerMomentum</t>
  </si>
  <si>
    <t>enemy.bulletRadiusRatio</t>
  </si>
  <si>
    <t>wave.duration.early</t>
  </si>
  <si>
    <t>wave.duration.mid</t>
  </si>
  <si>
    <t>wave.duration.late</t>
  </si>
  <si>
    <t>wave.spawn.baseInterval</t>
  </si>
  <si>
    <t>wave.spawn.reductionPerWave</t>
  </si>
  <si>
    <t>wave.spawn.minInterval</t>
  </si>
  <si>
    <t>wave.enemiesPerSpawn.growthFactor</t>
  </si>
  <si>
    <t>wave.enemiesPerSpawn.max</t>
  </si>
  <si>
    <t>wave.bossInterval</t>
  </si>
  <si>
    <t>wave.bossSpawnThreshold</t>
  </si>
  <si>
    <t>player.baseCritMultiplier</t>
  </si>
  <si>
    <t>player.invincibilityMs</t>
  </si>
  <si>
    <t>player.armorDiminishingFactor</t>
  </si>
  <si>
    <t>player.maxDodge</t>
  </si>
  <si>
    <t>player.mass</t>
  </si>
  <si>
    <t>player.friction</t>
  </si>
  <si>
    <t>economy.priceScale.perWave</t>
  </si>
  <si>
    <t>economy.reroll.baseCost</t>
  </si>
  <si>
    <t>economy.reroll.perWave</t>
  </si>
  <si>
    <t>economy.reroll.perReroll</t>
  </si>
  <si>
    <t>economy.sell.priceMultiplier</t>
  </si>
  <si>
    <t>economy.sell.levelMultiplier</t>
  </si>
  <si>
    <t>combat.explosionFalloff</t>
  </si>
  <si>
    <t>combat.explosionKnockback</t>
  </si>
  <si>
    <t>combat.shockwaveKnockback</t>
  </si>
  <si>
    <t>combat.grenadeStopSpeed</t>
  </si>
  <si>
    <t>weapons.maxLevel</t>
  </si>
  <si>
    <t>weapons.upgrade.damagePerLevel</t>
  </si>
  <si>
    <t>weapons.upgrade.attackSpeedPerLevel</t>
  </si>
  <si>
    <t>weapons.upgrade.explosionPerLevel</t>
  </si>
  <si>
    <t>drops.healthDropChance</t>
  </si>
  <si>
    <t>drops.healthDropLuckMultiplier</t>
  </si>
  <si>
    <t>drops.healthDropValue</t>
  </si>
  <si>
    <t>pickup.mass</t>
  </si>
  <si>
    <t>pickup.friction</t>
  </si>
  <si>
    <t>pickup.attractionForce</t>
  </si>
  <si>
    <t>pickup.attractionRampUpDuration</t>
  </si>
  <si>
    <t>pickup.minDistanceFactor</t>
  </si>
  <si>
    <t>pickup.maxDistanceFactor</t>
  </si>
  <si>
    <t>pickup.bobbingSpeed</t>
  </si>
  <si>
    <t>pickup.bobbingAmplitude</t>
  </si>
  <si>
    <t>startingWeapon</t>
  </si>
  <si>
    <t>wypaleniec</t>
  </si>
  <si>
    <t>cwaniak</t>
  </si>
  <si>
    <t>normik</t>
  </si>
  <si>
    <t>wave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</si>
</sst>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1.0"/>
      <color theme="1"/>
      <name val="Calibri"/>
      <scheme val="minor"/>
    </font>
    <font>
      <b/>
      <sz val="11.0"/>
      <color theme="1"/>
      <name val="Calibri"/>
      <scheme val="minor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</fills>
  <borders count="2">
    <border/>
    <border>
      <left/>
      <right/>
      <top/>
      <bottom style="thin">
        <color rgb="FF999999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4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8.0"/>
    <col customWidth="1" min="3" max="3" width="12.14"/>
    <col customWidth="1" min="4" max="4" width="12.57"/>
    <col customWidth="1" min="5" max="5" width="10.86"/>
    <col customWidth="1" min="6" max="7" width="13.0"/>
    <col customWidth="1" min="8" max="9" width="8.0"/>
    <col customWidth="1" min="10" max="12" width="16.0"/>
    <col customWidth="1" min="13" max="13" width="13.0"/>
    <col customWidth="1" min="14" max="14" width="11.0"/>
    <col customWidth="1" min="15" max="16" width="17.0"/>
    <col customWidth="1" min="17" max="17" width="14.0"/>
    <col customWidth="1" min="18" max="18" width="12.0"/>
    <col customWidth="1" min="19" max="19" width="13.0"/>
    <col customWidth="1" min="20" max="20" width="16.0"/>
    <col customWidth="1" min="21" max="21" width="12.29"/>
    <col customWidth="1" min="22" max="22" width="9.14"/>
    <col customWidth="1" min="23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2" t="s">
        <v>21</v>
      </c>
    </row>
    <row r="2">
      <c r="A2" s="3" t="s">
        <v>22</v>
      </c>
      <c r="B2" s="3">
        <v>30.0</v>
      </c>
      <c r="D2" s="3">
        <v>500.0</v>
      </c>
      <c r="E2" s="3">
        <v>10.0</v>
      </c>
      <c r="F2" s="3">
        <v>900.0</v>
      </c>
      <c r="G2" s="3">
        <v>1.0</v>
      </c>
      <c r="H2" s="3">
        <v>0.0</v>
      </c>
      <c r="I2" s="3">
        <v>265.0</v>
      </c>
      <c r="J2" s="3" t="s">
        <v>23</v>
      </c>
      <c r="K2" s="3">
        <v>0.6</v>
      </c>
      <c r="L2" s="3" t="s">
        <v>24</v>
      </c>
      <c r="U2" s="4">
        <f t="shared" ref="U2:U17" si="1">1000/D2*E2*G2*IF(ISNUMBER(M2), M2, 1)</f>
        <v>20</v>
      </c>
      <c r="V2" s="5">
        <f t="shared" ref="V2:V17" si="2">B2/U2</f>
        <v>1.5</v>
      </c>
    </row>
    <row r="3">
      <c r="A3" s="3" t="s">
        <v>25</v>
      </c>
      <c r="B3" s="3">
        <v>50.0</v>
      </c>
      <c r="D3" s="3">
        <v>150.0</v>
      </c>
      <c r="E3" s="3">
        <v>5.0</v>
      </c>
      <c r="F3" s="3">
        <v>900.0</v>
      </c>
      <c r="G3" s="3">
        <v>1.0</v>
      </c>
      <c r="H3" s="3">
        <v>15.0</v>
      </c>
      <c r="I3" s="3">
        <v>215.0</v>
      </c>
      <c r="J3" s="3" t="s">
        <v>23</v>
      </c>
      <c r="K3" s="3">
        <v>0.4</v>
      </c>
      <c r="L3" s="3" t="s">
        <v>24</v>
      </c>
      <c r="U3" s="4">
        <f t="shared" si="1"/>
        <v>33.33333333</v>
      </c>
      <c r="V3" s="5">
        <f t="shared" si="2"/>
        <v>1.5</v>
      </c>
    </row>
    <row r="4">
      <c r="A4" s="3" t="s">
        <v>26</v>
      </c>
      <c r="B4" s="2">
        <v>65.0</v>
      </c>
      <c r="D4" s="2">
        <v>3000.0</v>
      </c>
      <c r="E4" s="2">
        <v>65.0</v>
      </c>
      <c r="F4" s="3">
        <v>0.0</v>
      </c>
      <c r="G4" s="3">
        <v>1.0</v>
      </c>
      <c r="H4" s="3">
        <v>0.0</v>
      </c>
      <c r="I4" s="3">
        <v>9999.0</v>
      </c>
      <c r="J4" s="3" t="s">
        <v>27</v>
      </c>
      <c r="K4" s="3">
        <v>1.0</v>
      </c>
      <c r="N4" s="3" t="b">
        <v>1</v>
      </c>
      <c r="O4" s="3">
        <v>70.0</v>
      </c>
      <c r="P4" s="3" t="s">
        <v>24</v>
      </c>
      <c r="Q4" s="3">
        <v>12.0</v>
      </c>
      <c r="U4" s="4">
        <f t="shared" si="1"/>
        <v>21.66666667</v>
      </c>
      <c r="V4" s="5">
        <f t="shared" si="2"/>
        <v>3</v>
      </c>
    </row>
    <row r="5">
      <c r="A5" s="3" t="s">
        <v>28</v>
      </c>
      <c r="B5" s="2">
        <v>75.0</v>
      </c>
      <c r="D5" s="3">
        <v>800.0</v>
      </c>
      <c r="E5" s="3">
        <v>8.0</v>
      </c>
      <c r="F5" s="3">
        <v>420.0</v>
      </c>
      <c r="G5" s="3">
        <v>5.0</v>
      </c>
      <c r="H5" s="3">
        <v>30.0</v>
      </c>
      <c r="I5" s="3">
        <v>140.0</v>
      </c>
      <c r="J5" s="3" t="s">
        <v>23</v>
      </c>
      <c r="K5" s="3">
        <v>0.4</v>
      </c>
      <c r="L5" s="3" t="s">
        <v>24</v>
      </c>
      <c r="U5" s="4">
        <f t="shared" si="1"/>
        <v>50</v>
      </c>
      <c r="V5" s="5">
        <f t="shared" si="2"/>
        <v>1.5</v>
      </c>
    </row>
    <row r="6">
      <c r="A6" s="3" t="s">
        <v>29</v>
      </c>
      <c r="B6" s="2">
        <v>75.0</v>
      </c>
      <c r="D6" s="2">
        <v>80.0</v>
      </c>
      <c r="E6" s="2">
        <v>4.0</v>
      </c>
      <c r="F6" s="3">
        <v>1200.0</v>
      </c>
      <c r="G6" s="3">
        <v>1.0</v>
      </c>
      <c r="H6" s="3">
        <v>5.0</v>
      </c>
      <c r="I6" s="3">
        <v>350.0</v>
      </c>
      <c r="J6" s="3" t="s">
        <v>23</v>
      </c>
      <c r="K6" s="3">
        <v>0.1</v>
      </c>
      <c r="L6" s="3" t="s">
        <v>24</v>
      </c>
      <c r="U6" s="4">
        <f t="shared" si="1"/>
        <v>50</v>
      </c>
      <c r="V6" s="5">
        <f t="shared" si="2"/>
        <v>1.5</v>
      </c>
    </row>
    <row r="7">
      <c r="A7" s="3" t="s">
        <v>30</v>
      </c>
      <c r="B7" s="2">
        <v>79.0</v>
      </c>
      <c r="D7" s="2">
        <v>800.0</v>
      </c>
      <c r="E7" s="2">
        <v>14.0</v>
      </c>
      <c r="F7" s="3">
        <v>720.0</v>
      </c>
      <c r="G7" s="3">
        <v>3.0</v>
      </c>
      <c r="H7" s="3">
        <v>60.0</v>
      </c>
      <c r="I7" s="3">
        <v>100.0</v>
      </c>
      <c r="J7" s="3" t="s">
        <v>31</v>
      </c>
      <c r="K7" s="3">
        <v>0.4</v>
      </c>
      <c r="L7" s="3" t="s">
        <v>30</v>
      </c>
      <c r="Q7" s="3">
        <v>8.0</v>
      </c>
      <c r="R7" s="3" t="b">
        <v>1</v>
      </c>
      <c r="S7" s="3">
        <v>100.0</v>
      </c>
      <c r="U7" s="4">
        <f t="shared" si="1"/>
        <v>52.5</v>
      </c>
      <c r="V7" s="5">
        <f t="shared" si="2"/>
        <v>1.504761905</v>
      </c>
    </row>
    <row r="8">
      <c r="A8" s="3" t="s">
        <v>32</v>
      </c>
      <c r="B8" s="3">
        <v>100.0</v>
      </c>
      <c r="D8" s="3">
        <v>1500.0</v>
      </c>
      <c r="E8" s="3">
        <v>50.0</v>
      </c>
      <c r="F8" s="3">
        <v>900.0</v>
      </c>
      <c r="G8" s="3">
        <v>1.0</v>
      </c>
      <c r="H8" s="3">
        <v>0.0</v>
      </c>
      <c r="I8" s="3">
        <v>400.0</v>
      </c>
      <c r="J8" s="3" t="s">
        <v>23</v>
      </c>
      <c r="K8" s="3">
        <v>1.0</v>
      </c>
      <c r="L8" s="3" t="s">
        <v>24</v>
      </c>
      <c r="M8" s="3">
        <v>2.0</v>
      </c>
      <c r="U8" s="4">
        <f t="shared" si="1"/>
        <v>66.66666667</v>
      </c>
      <c r="V8" s="5">
        <f t="shared" si="2"/>
        <v>1.5</v>
      </c>
    </row>
    <row r="9">
      <c r="A9" s="3" t="s">
        <v>33</v>
      </c>
      <c r="B9" s="2">
        <v>110.0</v>
      </c>
      <c r="D9" s="2">
        <v>82.0</v>
      </c>
      <c r="E9" s="3">
        <v>2.0</v>
      </c>
      <c r="F9" s="3">
        <v>360.0</v>
      </c>
      <c r="G9" s="3">
        <v>3.0</v>
      </c>
      <c r="H9" s="3">
        <v>40.0</v>
      </c>
      <c r="I9" s="3">
        <v>120.0</v>
      </c>
      <c r="J9" s="3" t="s">
        <v>34</v>
      </c>
      <c r="K9" s="3">
        <v>0.01</v>
      </c>
      <c r="L9" s="3" t="s">
        <v>33</v>
      </c>
      <c r="Q9" s="3">
        <v>6.0</v>
      </c>
      <c r="R9" s="3" t="b">
        <v>1</v>
      </c>
      <c r="S9" s="3">
        <v>120.0</v>
      </c>
      <c r="U9" s="4">
        <f t="shared" si="1"/>
        <v>73.17073171</v>
      </c>
      <c r="V9" s="5">
        <f t="shared" si="2"/>
        <v>1.503333333</v>
      </c>
    </row>
    <row r="10">
      <c r="A10" s="3" t="s">
        <v>35</v>
      </c>
      <c r="B10" s="2">
        <v>120.0</v>
      </c>
      <c r="D10" s="3">
        <v>2000.0</v>
      </c>
      <c r="E10" s="3">
        <v>80.0</v>
      </c>
      <c r="F10" s="3">
        <v>300.0</v>
      </c>
      <c r="G10" s="3">
        <v>1.0</v>
      </c>
      <c r="H10" s="3">
        <v>0.0</v>
      </c>
      <c r="I10" s="3">
        <v>310.0</v>
      </c>
      <c r="J10" s="3" t="s">
        <v>36</v>
      </c>
      <c r="K10" s="3">
        <v>2.0</v>
      </c>
      <c r="L10" s="3" t="s">
        <v>36</v>
      </c>
      <c r="N10" s="3" t="b">
        <v>1</v>
      </c>
      <c r="O10" s="3">
        <v>80.0</v>
      </c>
      <c r="P10" s="3" t="s">
        <v>24</v>
      </c>
      <c r="Q10" s="3">
        <v>10.0</v>
      </c>
      <c r="U10" s="4">
        <f t="shared" si="1"/>
        <v>40</v>
      </c>
      <c r="V10" s="5">
        <f t="shared" si="2"/>
        <v>3</v>
      </c>
    </row>
    <row r="11">
      <c r="A11" s="3" t="s">
        <v>37</v>
      </c>
      <c r="B11" s="2">
        <v>120.0</v>
      </c>
      <c r="D11" s="2">
        <v>2300.0</v>
      </c>
      <c r="E11" s="2">
        <v>45.0</v>
      </c>
      <c r="F11" s="3">
        <v>420.0</v>
      </c>
      <c r="G11" s="3">
        <v>1.0</v>
      </c>
      <c r="H11" s="3">
        <v>0.0</v>
      </c>
      <c r="I11" s="3">
        <v>235.0</v>
      </c>
      <c r="J11" s="3" t="s">
        <v>38</v>
      </c>
      <c r="K11" s="3">
        <v>0.7</v>
      </c>
      <c r="L11" s="3" t="s">
        <v>37</v>
      </c>
      <c r="N11" s="3" t="b">
        <v>1</v>
      </c>
      <c r="O11" s="3">
        <v>90.0</v>
      </c>
      <c r="P11" s="3" t="s">
        <v>37</v>
      </c>
      <c r="Q11" s="3">
        <v>10.0</v>
      </c>
      <c r="T11" s="3">
        <v>235.0</v>
      </c>
      <c r="U11" s="4">
        <f t="shared" si="1"/>
        <v>19.56521739</v>
      </c>
      <c r="V11" s="5">
        <f t="shared" si="2"/>
        <v>6.133333333</v>
      </c>
    </row>
    <row r="12">
      <c r="A12" s="3" t="s">
        <v>39</v>
      </c>
      <c r="B12" s="2">
        <v>140.0</v>
      </c>
      <c r="D12" s="2">
        <v>1225.0</v>
      </c>
      <c r="E12" s="2">
        <v>38.0</v>
      </c>
      <c r="F12" s="3">
        <v>360.0</v>
      </c>
      <c r="G12" s="3">
        <v>1.0</v>
      </c>
      <c r="H12" s="3">
        <v>0.0</v>
      </c>
      <c r="I12" s="3">
        <v>230.0</v>
      </c>
      <c r="J12" s="3" t="s">
        <v>31</v>
      </c>
      <c r="K12" s="3">
        <v>2.5</v>
      </c>
      <c r="L12" s="3" t="s">
        <v>39</v>
      </c>
      <c r="M12" s="3">
        <v>3.0</v>
      </c>
      <c r="Q12" s="3">
        <v>20.0</v>
      </c>
      <c r="U12" s="4">
        <f t="shared" si="1"/>
        <v>93.06122449</v>
      </c>
      <c r="V12" s="5">
        <f t="shared" si="2"/>
        <v>1.504385965</v>
      </c>
    </row>
    <row r="13">
      <c r="A13" s="3" t="s">
        <v>40</v>
      </c>
      <c r="B13" s="3">
        <v>150.0</v>
      </c>
      <c r="D13" s="2">
        <v>30.0</v>
      </c>
      <c r="E13" s="2">
        <v>3.0</v>
      </c>
      <c r="F13" s="3">
        <v>720.0</v>
      </c>
      <c r="G13" s="3">
        <v>1.0</v>
      </c>
      <c r="H13" s="3">
        <v>20.0</v>
      </c>
      <c r="I13" s="3">
        <v>160.0</v>
      </c>
      <c r="J13" s="3" t="s">
        <v>23</v>
      </c>
      <c r="K13" s="3">
        <v>0.12</v>
      </c>
      <c r="L13" s="3" t="s">
        <v>24</v>
      </c>
      <c r="U13" s="4">
        <f t="shared" si="1"/>
        <v>100</v>
      </c>
      <c r="V13" s="5">
        <f t="shared" si="2"/>
        <v>1.5</v>
      </c>
    </row>
    <row r="14">
      <c r="A14" s="3" t="s">
        <v>41</v>
      </c>
      <c r="B14" s="2">
        <v>200.0</v>
      </c>
      <c r="D14" s="3">
        <v>3000.0</v>
      </c>
      <c r="E14" s="2">
        <v>100.0</v>
      </c>
      <c r="F14" s="3">
        <v>360.0</v>
      </c>
      <c r="G14" s="3">
        <v>1.0</v>
      </c>
      <c r="H14" s="3">
        <v>0.0</v>
      </c>
      <c r="I14" s="3">
        <v>275.0</v>
      </c>
      <c r="J14" s="3" t="s">
        <v>38</v>
      </c>
      <c r="K14" s="3">
        <v>1.0</v>
      </c>
      <c r="L14" s="3" t="s">
        <v>41</v>
      </c>
      <c r="N14" s="3" t="b">
        <v>1</v>
      </c>
      <c r="O14" s="3">
        <v>120.0</v>
      </c>
      <c r="P14" s="3" t="s">
        <v>42</v>
      </c>
      <c r="Q14" s="3">
        <v>12.0</v>
      </c>
      <c r="T14" s="3">
        <v>275.0</v>
      </c>
      <c r="U14" s="4">
        <f t="shared" si="1"/>
        <v>33.33333333</v>
      </c>
      <c r="V14" s="5">
        <f t="shared" si="2"/>
        <v>6</v>
      </c>
    </row>
    <row r="15">
      <c r="A15" s="3" t="s">
        <v>43</v>
      </c>
      <c r="B15" s="2">
        <v>260.0</v>
      </c>
      <c r="D15" s="2">
        <v>900.0</v>
      </c>
      <c r="E15" s="2">
        <v>52.0</v>
      </c>
      <c r="F15" s="3">
        <v>840.0</v>
      </c>
      <c r="G15" s="3">
        <v>1.0</v>
      </c>
      <c r="H15" s="3">
        <v>0.0</v>
      </c>
      <c r="I15" s="3">
        <v>320.0</v>
      </c>
      <c r="J15" s="3" t="s">
        <v>23</v>
      </c>
      <c r="K15" s="3">
        <v>1.0</v>
      </c>
      <c r="L15" s="3" t="s">
        <v>44</v>
      </c>
      <c r="M15" s="3">
        <v>3.0</v>
      </c>
      <c r="Q15" s="3">
        <v>6.0</v>
      </c>
      <c r="U15" s="4">
        <f t="shared" si="1"/>
        <v>173.3333333</v>
      </c>
      <c r="V15" s="5">
        <f t="shared" si="2"/>
        <v>1.5</v>
      </c>
    </row>
    <row r="16">
      <c r="A16" s="3" t="s">
        <v>45</v>
      </c>
      <c r="B16" s="3">
        <v>500.0</v>
      </c>
      <c r="C16" s="3">
        <v>5.0</v>
      </c>
      <c r="D16" s="3">
        <v>8000.0</v>
      </c>
      <c r="E16" s="3">
        <v>300.0</v>
      </c>
      <c r="F16" s="3">
        <v>180.0</v>
      </c>
      <c r="G16" s="3">
        <v>1.0</v>
      </c>
      <c r="H16" s="3">
        <v>0.0</v>
      </c>
      <c r="I16" s="3">
        <v>9999.0</v>
      </c>
      <c r="J16" s="3" t="s">
        <v>36</v>
      </c>
      <c r="K16" s="3">
        <v>5.0</v>
      </c>
      <c r="L16" s="3" t="s">
        <v>45</v>
      </c>
      <c r="N16" s="3" t="b">
        <v>1</v>
      </c>
      <c r="O16" s="3">
        <v>200.0</v>
      </c>
      <c r="P16" s="3" t="s">
        <v>45</v>
      </c>
      <c r="Q16" s="3">
        <v>15.0</v>
      </c>
      <c r="U16" s="4">
        <f t="shared" si="1"/>
        <v>37.5</v>
      </c>
      <c r="V16" s="5">
        <f t="shared" si="2"/>
        <v>13.33333333</v>
      </c>
    </row>
    <row r="17">
      <c r="A17" s="3" t="s">
        <v>46</v>
      </c>
      <c r="D17" s="3">
        <v>0.0</v>
      </c>
      <c r="E17" s="3">
        <v>16.0</v>
      </c>
      <c r="F17" s="3">
        <v>600.0</v>
      </c>
      <c r="G17" s="3">
        <v>1.0</v>
      </c>
      <c r="H17" s="3">
        <v>0.0</v>
      </c>
      <c r="I17" s="3">
        <v>80.0</v>
      </c>
      <c r="J17" s="3" t="s">
        <v>38</v>
      </c>
      <c r="K17" s="3">
        <v>0.6</v>
      </c>
      <c r="L17" s="3" t="s">
        <v>47</v>
      </c>
      <c r="N17" s="3" t="b">
        <v>1</v>
      </c>
      <c r="O17" s="3">
        <v>45.0</v>
      </c>
      <c r="P17" s="3" t="s">
        <v>37</v>
      </c>
      <c r="Q17" s="3">
        <v>6.0</v>
      </c>
      <c r="T17" s="3">
        <v>80.0</v>
      </c>
      <c r="U17" s="4" t="str">
        <f t="shared" si="1"/>
        <v>#DIV/0!</v>
      </c>
      <c r="V17" s="5" t="str">
        <f t="shared" si="2"/>
        <v>#DIV/0!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T$17">
    <sortState ref="A1:T17">
      <sortCondition ref="B1:B17"/>
      <sortCondition ref="A1:A17"/>
    </sortState>
  </autoFilter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8.0"/>
    <col customWidth="1" min="3" max="3" width="8.71"/>
    <col customWidth="1" min="4" max="8" width="8.0"/>
    <col customWidth="1" min="9" max="9" width="18.0"/>
    <col customWidth="1" min="10" max="11" width="12.0"/>
    <col customWidth="1" min="12" max="12" width="11.0"/>
    <col customWidth="1" min="13" max="14" width="17.0"/>
    <col customWidth="1" min="15" max="15" width="13.0"/>
    <col customWidth="1" min="16" max="16" width="8.0"/>
    <col customWidth="1" min="17" max="17" width="14.0"/>
    <col customWidth="1" min="18" max="18" width="16.0"/>
    <col customWidth="1" min="19" max="19" width="23.0"/>
    <col customWidth="1" min="20" max="20" width="13.0"/>
    <col customWidth="1" min="21" max="21" width="11.0"/>
    <col customWidth="1" min="22" max="22" width="12.0"/>
    <col customWidth="1" min="23" max="26" width="8.71"/>
  </cols>
  <sheetData>
    <row r="1">
      <c r="A1" s="1" t="s">
        <v>48</v>
      </c>
      <c r="B1" s="1" t="s">
        <v>1</v>
      </c>
      <c r="C1" s="1" t="s">
        <v>2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53</v>
      </c>
      <c r="I1" s="1" t="s">
        <v>54</v>
      </c>
      <c r="J1" s="1" t="s">
        <v>55</v>
      </c>
      <c r="K1" s="1" t="s">
        <v>56</v>
      </c>
      <c r="L1" s="1" t="s">
        <v>57</v>
      </c>
      <c r="M1" s="1" t="s">
        <v>14</v>
      </c>
      <c r="N1" s="1" t="s">
        <v>58</v>
      </c>
      <c r="O1" s="1" t="s">
        <v>59</v>
      </c>
      <c r="P1" s="1" t="s">
        <v>60</v>
      </c>
      <c r="Q1" s="1" t="s">
        <v>61</v>
      </c>
      <c r="R1" s="1" t="s">
        <v>62</v>
      </c>
      <c r="S1" s="1" t="s">
        <v>63</v>
      </c>
      <c r="T1" s="1" t="s">
        <v>64</v>
      </c>
      <c r="U1" s="1" t="s">
        <v>65</v>
      </c>
      <c r="V1" s="1" t="s">
        <v>66</v>
      </c>
    </row>
    <row r="2">
      <c r="A2" s="3" t="s">
        <v>67</v>
      </c>
      <c r="B2" s="3">
        <v>60.0</v>
      </c>
      <c r="D2" s="3">
        <v>5.0</v>
      </c>
    </row>
    <row r="3">
      <c r="A3" s="3" t="s">
        <v>68</v>
      </c>
      <c r="B3" s="3">
        <v>120.0</v>
      </c>
      <c r="D3" s="3">
        <v>10.0</v>
      </c>
    </row>
    <row r="4">
      <c r="A4" s="3" t="s">
        <v>69</v>
      </c>
      <c r="B4" s="3">
        <v>80.0</v>
      </c>
      <c r="E4" s="3">
        <v>0.03</v>
      </c>
    </row>
    <row r="5">
      <c r="A5" s="3" t="s">
        <v>70</v>
      </c>
      <c r="B5" s="3">
        <v>90.0</v>
      </c>
      <c r="F5" s="3">
        <v>0.05</v>
      </c>
    </row>
    <row r="6">
      <c r="A6" s="3" t="s">
        <v>71</v>
      </c>
      <c r="B6" s="3">
        <v>100.0</v>
      </c>
      <c r="G6" s="3">
        <v>30.0</v>
      </c>
    </row>
    <row r="7">
      <c r="A7" s="3" t="s">
        <v>72</v>
      </c>
      <c r="B7" s="3">
        <v>85.0</v>
      </c>
      <c r="H7" s="3">
        <v>0.5</v>
      </c>
    </row>
    <row r="8">
      <c r="A8" s="3" t="s">
        <v>73</v>
      </c>
      <c r="B8" s="3">
        <v>70.0</v>
      </c>
      <c r="I8" s="3">
        <v>0.1</v>
      </c>
    </row>
    <row r="9">
      <c r="A9" s="3" t="s">
        <v>74</v>
      </c>
      <c r="B9" s="3">
        <v>75.0</v>
      </c>
      <c r="J9" s="3">
        <v>0.05</v>
      </c>
    </row>
    <row r="10">
      <c r="A10" s="3" t="s">
        <v>75</v>
      </c>
      <c r="B10" s="3">
        <v>90.0</v>
      </c>
      <c r="K10" s="3">
        <v>0.25</v>
      </c>
    </row>
    <row r="11">
      <c r="A11" s="3" t="s">
        <v>76</v>
      </c>
      <c r="B11" s="3">
        <v>110.0</v>
      </c>
      <c r="L11" s="3">
        <v>0.05</v>
      </c>
    </row>
    <row r="12">
      <c r="A12" s="3" t="s">
        <v>77</v>
      </c>
      <c r="B12" s="3">
        <v>95.0</v>
      </c>
      <c r="M12" s="3">
        <v>0.15</v>
      </c>
    </row>
    <row r="13">
      <c r="A13" s="3" t="s">
        <v>78</v>
      </c>
      <c r="B13" s="3">
        <v>55.0</v>
      </c>
      <c r="N13" s="3">
        <v>0.08</v>
      </c>
    </row>
    <row r="14">
      <c r="A14" s="3" t="s">
        <v>79</v>
      </c>
      <c r="B14" s="3">
        <v>40.0</v>
      </c>
      <c r="O14" s="3">
        <v>25.0</v>
      </c>
    </row>
    <row r="15">
      <c r="A15" s="3" t="s">
        <v>80</v>
      </c>
      <c r="B15" s="3">
        <v>65.0</v>
      </c>
      <c r="P15" s="3">
        <v>0.15</v>
      </c>
    </row>
    <row r="16">
      <c r="A16" s="3" t="s">
        <v>81</v>
      </c>
      <c r="B16" s="3">
        <v>80.0</v>
      </c>
      <c r="Q16" s="3">
        <v>0.25</v>
      </c>
    </row>
    <row r="17">
      <c r="A17" s="3" t="s">
        <v>82</v>
      </c>
      <c r="B17" s="3">
        <v>60.0</v>
      </c>
      <c r="R17" s="3">
        <v>0.15</v>
      </c>
    </row>
    <row r="18">
      <c r="A18" s="3" t="s">
        <v>83</v>
      </c>
      <c r="B18" s="3">
        <v>85.0</v>
      </c>
      <c r="S18" s="3">
        <v>0.08</v>
      </c>
    </row>
    <row r="19">
      <c r="A19" s="3" t="s">
        <v>84</v>
      </c>
      <c r="B19" s="3">
        <v>80.0</v>
      </c>
      <c r="T19" s="3">
        <v>0.2</v>
      </c>
    </row>
    <row r="20">
      <c r="A20" s="3" t="s">
        <v>85</v>
      </c>
      <c r="B20" s="3">
        <v>120.0</v>
      </c>
      <c r="J20" s="3">
        <v>0.05</v>
      </c>
      <c r="T20" s="3">
        <v>0.15</v>
      </c>
    </row>
    <row r="21" ht="15.75" customHeight="1">
      <c r="A21" s="3" t="s">
        <v>86</v>
      </c>
      <c r="B21" s="3">
        <v>200.0</v>
      </c>
      <c r="D21" s="3">
        <v>5.0</v>
      </c>
      <c r="G21" s="3">
        <v>10.0</v>
      </c>
      <c r="I21" s="3">
        <v>0.1</v>
      </c>
      <c r="N21" s="3">
        <v>0.05</v>
      </c>
      <c r="S21" s="3">
        <v>0.1</v>
      </c>
    </row>
    <row r="22" ht="15.75" customHeight="1">
      <c r="A22" s="3" t="s">
        <v>87</v>
      </c>
      <c r="B22" s="3">
        <v>300.0</v>
      </c>
      <c r="E22" s="3">
        <v>0.1</v>
      </c>
      <c r="N22" s="3">
        <v>0.25</v>
      </c>
    </row>
    <row r="23" ht="15.75" customHeight="1">
      <c r="A23" s="3" t="s">
        <v>88</v>
      </c>
      <c r="B23" s="3">
        <v>280.0</v>
      </c>
      <c r="G23" s="3">
        <v>30.0</v>
      </c>
      <c r="H23" s="3">
        <v>0.5</v>
      </c>
      <c r="L23" s="3">
        <v>0.1</v>
      </c>
    </row>
    <row r="24" ht="15.75" customHeight="1">
      <c r="A24" s="3" t="s">
        <v>89</v>
      </c>
      <c r="B24" s="3">
        <v>250.0</v>
      </c>
      <c r="P24" s="3">
        <v>0.15</v>
      </c>
      <c r="Q24" s="3">
        <v>0.25</v>
      </c>
      <c r="R24" s="3">
        <v>0.15</v>
      </c>
    </row>
    <row r="25" ht="15.75" customHeight="1">
      <c r="A25" s="3" t="s">
        <v>90</v>
      </c>
      <c r="B25" s="3">
        <v>350.0</v>
      </c>
      <c r="I25" s="3">
        <v>0.2</v>
      </c>
      <c r="J25" s="3">
        <v>0.1</v>
      </c>
    </row>
    <row r="26" ht="15.75" customHeight="1">
      <c r="A26" s="3" t="s">
        <v>91</v>
      </c>
      <c r="B26" s="3">
        <v>120.0</v>
      </c>
      <c r="U26" s="3">
        <v>0.5</v>
      </c>
    </row>
    <row r="27" ht="15.75" customHeight="1">
      <c r="A27" s="3" t="s">
        <v>92</v>
      </c>
      <c r="B27" s="3">
        <v>180.0</v>
      </c>
      <c r="R27" s="3">
        <v>0.3</v>
      </c>
    </row>
    <row r="28" ht="15.75" customHeight="1">
      <c r="A28" s="3" t="s">
        <v>93</v>
      </c>
      <c r="B28" s="3">
        <v>350.0</v>
      </c>
      <c r="C28" s="3">
        <v>10.0</v>
      </c>
      <c r="V28" s="3">
        <v>1.0</v>
      </c>
    </row>
    <row r="29" ht="15.75" customHeight="1">
      <c r="A29" s="3" t="s">
        <v>94</v>
      </c>
      <c r="B29" s="3">
        <v>260.0</v>
      </c>
      <c r="F29" s="3">
        <v>0.1</v>
      </c>
      <c r="I29" s="3">
        <v>0.15</v>
      </c>
      <c r="N29" s="3">
        <v>0.15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V$29"/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4" width="8.0"/>
    <col customWidth="1" min="5" max="5" width="15.0"/>
    <col customWidth="1" min="6" max="6" width="8.71"/>
    <col customWidth="1" min="7" max="7" width="11.0"/>
    <col customWidth="1" min="8" max="9" width="10.0"/>
    <col customWidth="1" min="10" max="10" width="13.0"/>
    <col customWidth="1" min="11" max="11" width="14.0"/>
    <col customWidth="1" min="12" max="12" width="29.0"/>
    <col customWidth="1" min="13" max="13" width="8.71"/>
    <col customWidth="1" min="14" max="14" width="16.0"/>
    <col customWidth="1" min="15" max="16" width="17.0"/>
    <col customWidth="1" min="17" max="17" width="8.0"/>
    <col customWidth="1" min="18" max="18" width="14.0"/>
    <col customWidth="1" min="19" max="19" width="12.0"/>
    <col customWidth="1" min="20" max="20" width="8.0"/>
    <col customWidth="1" min="21" max="26" width="8.71"/>
  </cols>
  <sheetData>
    <row r="1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3</v>
      </c>
      <c r="J1" s="1" t="s">
        <v>5</v>
      </c>
      <c r="K1" s="1" t="s">
        <v>102</v>
      </c>
      <c r="L1" s="1" t="s">
        <v>103</v>
      </c>
      <c r="M1" s="1" t="s">
        <v>104</v>
      </c>
      <c r="N1" s="1" t="s">
        <v>105</v>
      </c>
      <c r="O1" s="1" t="s">
        <v>14</v>
      </c>
      <c r="P1" s="1" t="s">
        <v>106</v>
      </c>
      <c r="Q1" s="1" t="s">
        <v>107</v>
      </c>
      <c r="R1" s="1" t="s">
        <v>108</v>
      </c>
      <c r="S1" s="1" t="s">
        <v>109</v>
      </c>
      <c r="T1" s="1" t="s">
        <v>110</v>
      </c>
    </row>
    <row r="2">
      <c r="A2" s="3" t="s">
        <v>111</v>
      </c>
      <c r="B2" s="3">
        <v>15.0</v>
      </c>
      <c r="C2" s="3">
        <v>90.0</v>
      </c>
      <c r="D2" s="3">
        <v>20.0</v>
      </c>
      <c r="E2" s="3">
        <v>15.0</v>
      </c>
      <c r="F2" s="3">
        <v>10.0</v>
      </c>
      <c r="G2" s="3">
        <v>2.0</v>
      </c>
    </row>
    <row r="3">
      <c r="A3" s="3" t="s">
        <v>112</v>
      </c>
      <c r="B3" s="3">
        <v>10.0</v>
      </c>
      <c r="C3" s="3">
        <v>210.0</v>
      </c>
      <c r="D3" s="3">
        <v>10.0</v>
      </c>
      <c r="E3" s="3">
        <v>8.0</v>
      </c>
      <c r="F3" s="3">
        <v>15.0</v>
      </c>
      <c r="G3" s="3">
        <v>4.0</v>
      </c>
    </row>
    <row r="4">
      <c r="A4" s="3" t="s">
        <v>113</v>
      </c>
      <c r="B4" s="3">
        <v>28.0</v>
      </c>
      <c r="C4" s="3">
        <v>42.0</v>
      </c>
      <c r="D4" s="3">
        <v>100.0</v>
      </c>
      <c r="E4" s="3">
        <v>35.0</v>
      </c>
      <c r="F4" s="3">
        <v>35.0</v>
      </c>
      <c r="G4" s="3">
        <v>9.0</v>
      </c>
      <c r="H4" s="3" t="b">
        <v>1</v>
      </c>
      <c r="I4" s="3">
        <v>6000.0</v>
      </c>
      <c r="J4" s="3">
        <v>180.0</v>
      </c>
      <c r="K4" s="3">
        <v>15.0</v>
      </c>
      <c r="L4" s="3" t="s">
        <v>114</v>
      </c>
    </row>
    <row r="5">
      <c r="A5" s="3" t="s">
        <v>115</v>
      </c>
      <c r="B5" s="3">
        <v>7.0</v>
      </c>
      <c r="C5" s="3">
        <v>132.0</v>
      </c>
      <c r="D5" s="3">
        <v>5.0</v>
      </c>
      <c r="E5" s="3">
        <v>5.0</v>
      </c>
      <c r="F5" s="3">
        <v>5.0</v>
      </c>
      <c r="G5" s="3">
        <v>1.0</v>
      </c>
    </row>
    <row r="6">
      <c r="A6" s="3" t="s">
        <v>116</v>
      </c>
      <c r="B6" s="3">
        <v>9.0</v>
      </c>
      <c r="C6" s="3">
        <v>300.0</v>
      </c>
      <c r="D6" s="3">
        <v>8.0</v>
      </c>
      <c r="E6" s="3">
        <v>12.0</v>
      </c>
      <c r="F6" s="3">
        <v>20.0</v>
      </c>
      <c r="G6" s="3">
        <v>5.0</v>
      </c>
    </row>
    <row r="7">
      <c r="A7" s="3" t="s">
        <v>117</v>
      </c>
      <c r="B7" s="3">
        <v>35.0</v>
      </c>
      <c r="C7" s="3">
        <v>30.0</v>
      </c>
      <c r="D7" s="3">
        <v>200.0</v>
      </c>
      <c r="E7" s="3">
        <v>50.0</v>
      </c>
      <c r="F7" s="3">
        <v>60.0</v>
      </c>
      <c r="G7" s="3">
        <v>15.0</v>
      </c>
      <c r="H7" s="3" t="b">
        <v>1</v>
      </c>
      <c r="I7" s="3">
        <v>4000.0</v>
      </c>
      <c r="J7" s="3">
        <v>180.0</v>
      </c>
      <c r="K7" s="3">
        <v>20.0</v>
      </c>
      <c r="L7" s="3" t="s">
        <v>114</v>
      </c>
    </row>
    <row r="8">
      <c r="A8" s="3" t="s">
        <v>118</v>
      </c>
      <c r="B8" s="3">
        <v>14.0</v>
      </c>
      <c r="C8" s="3">
        <v>120.0</v>
      </c>
      <c r="D8" s="3">
        <v>15.0</v>
      </c>
      <c r="E8" s="3">
        <v>20.0</v>
      </c>
      <c r="F8" s="3">
        <v>25.0</v>
      </c>
      <c r="G8" s="3">
        <v>6.0</v>
      </c>
      <c r="M8" s="3" t="b">
        <v>1</v>
      </c>
    </row>
    <row r="9">
      <c r="A9" s="3" t="s">
        <v>119</v>
      </c>
      <c r="B9" s="3">
        <v>12.0</v>
      </c>
      <c r="C9" s="3">
        <v>108.0</v>
      </c>
      <c r="D9" s="3">
        <v>25.0</v>
      </c>
      <c r="E9" s="3">
        <v>5.0</v>
      </c>
      <c r="F9" s="3">
        <v>20.0</v>
      </c>
      <c r="G9" s="3">
        <v>5.0</v>
      </c>
      <c r="N9" s="3" t="b">
        <v>1</v>
      </c>
      <c r="O9" s="3">
        <v>60.0</v>
      </c>
      <c r="P9" s="3">
        <v>15.0</v>
      </c>
    </row>
    <row r="10">
      <c r="A10" s="3" t="s">
        <v>107</v>
      </c>
      <c r="B10" s="3">
        <v>11.0</v>
      </c>
      <c r="C10" s="3">
        <v>150.0</v>
      </c>
      <c r="D10" s="3">
        <v>18.0</v>
      </c>
      <c r="E10" s="3">
        <v>8.0</v>
      </c>
      <c r="F10" s="3">
        <v>18.0</v>
      </c>
      <c r="G10" s="3">
        <v>4.0</v>
      </c>
      <c r="Q10" s="3" t="b">
        <v>1</v>
      </c>
    </row>
    <row r="11">
      <c r="A11" s="3" t="s">
        <v>120</v>
      </c>
      <c r="B11" s="3">
        <v>20.0</v>
      </c>
      <c r="C11" s="3">
        <v>72.0</v>
      </c>
      <c r="D11" s="3">
        <v>40.0</v>
      </c>
      <c r="E11" s="3">
        <v>12.0</v>
      </c>
      <c r="F11" s="3">
        <v>25.0</v>
      </c>
      <c r="G11" s="3">
        <v>7.0</v>
      </c>
      <c r="R11" s="3" t="b">
        <v>1</v>
      </c>
      <c r="S11" s="3">
        <v>3.0</v>
      </c>
    </row>
    <row r="12">
      <c r="A12" s="3" t="s">
        <v>121</v>
      </c>
      <c r="B12" s="3">
        <v>18.0</v>
      </c>
      <c r="C12" s="3">
        <v>55.0</v>
      </c>
      <c r="D12" s="3">
        <v>60.0</v>
      </c>
      <c r="E12" s="3">
        <v>20.0</v>
      </c>
      <c r="F12" s="3">
        <v>30.0</v>
      </c>
      <c r="G12" s="3">
        <v>8.0</v>
      </c>
      <c r="H12" s="3" t="b">
        <v>1</v>
      </c>
      <c r="I12" s="3">
        <v>4500.0</v>
      </c>
      <c r="J12" s="3">
        <v>0.0</v>
      </c>
      <c r="K12" s="3">
        <v>12.0</v>
      </c>
      <c r="L12" s="3" t="s">
        <v>122</v>
      </c>
    </row>
    <row r="13">
      <c r="A13" s="3" t="s">
        <v>123</v>
      </c>
      <c r="B13" s="3">
        <v>50.0</v>
      </c>
      <c r="C13" s="3">
        <v>30.0</v>
      </c>
      <c r="D13" s="3">
        <v>750.0</v>
      </c>
      <c r="E13" s="3">
        <v>50.0</v>
      </c>
      <c r="F13" s="3">
        <v>200.0</v>
      </c>
      <c r="G13" s="3">
        <v>50.0</v>
      </c>
      <c r="H13" s="3" t="b">
        <v>1</v>
      </c>
      <c r="I13" s="3">
        <v>1300.0</v>
      </c>
      <c r="J13" s="3">
        <v>240.0</v>
      </c>
      <c r="K13" s="3">
        <v>20.0</v>
      </c>
      <c r="L13" s="3" t="s">
        <v>124</v>
      </c>
      <c r="T13" s="3" t="b">
        <v>1</v>
      </c>
    </row>
    <row r="14">
      <c r="A14" s="3" t="s">
        <v>125</v>
      </c>
      <c r="B14" s="3">
        <v>45.0</v>
      </c>
      <c r="C14" s="3">
        <v>48.0</v>
      </c>
      <c r="D14" s="3">
        <v>600.0</v>
      </c>
      <c r="E14" s="3">
        <v>30.0</v>
      </c>
      <c r="F14" s="3">
        <v>250.0</v>
      </c>
      <c r="G14" s="3">
        <v>60.0</v>
      </c>
      <c r="H14" s="3" t="b">
        <v>1</v>
      </c>
      <c r="I14" s="3">
        <v>1000.0</v>
      </c>
      <c r="J14" s="3">
        <v>300.0</v>
      </c>
      <c r="K14" s="3">
        <v>10.0</v>
      </c>
      <c r="L14" s="3" t="s">
        <v>126</v>
      </c>
      <c r="R14" s="3" t="b">
        <v>1</v>
      </c>
      <c r="S14" s="3">
        <v>8.0</v>
      </c>
      <c r="T14" s="3" t="b">
        <v>1</v>
      </c>
    </row>
    <row r="15">
      <c r="A15" s="3" t="s">
        <v>127</v>
      </c>
      <c r="B15" s="3">
        <v>65.0</v>
      </c>
      <c r="C15" s="3">
        <v>18.0</v>
      </c>
      <c r="D15" s="3">
        <v>1500.0</v>
      </c>
      <c r="E15" s="3">
        <v>80.0</v>
      </c>
      <c r="F15" s="3">
        <v>300.0</v>
      </c>
      <c r="G15" s="3">
        <v>75.0</v>
      </c>
      <c r="H15" s="3" t="b">
        <v>1</v>
      </c>
      <c r="I15" s="3">
        <v>2000.0</v>
      </c>
      <c r="J15" s="3">
        <v>180.0</v>
      </c>
      <c r="K15" s="3">
        <v>35.0</v>
      </c>
      <c r="L15" s="3" t="s">
        <v>128</v>
      </c>
      <c r="T15" s="3" t="b">
        <v>1</v>
      </c>
    </row>
    <row r="16">
      <c r="A16" s="3" t="s">
        <v>129</v>
      </c>
      <c r="B16" s="3">
        <v>40.0</v>
      </c>
      <c r="C16" s="3">
        <v>96.0</v>
      </c>
      <c r="D16" s="3">
        <v>500.0</v>
      </c>
      <c r="E16" s="3">
        <v>35.0</v>
      </c>
      <c r="F16" s="3">
        <v>220.0</v>
      </c>
      <c r="G16" s="3">
        <v>55.0</v>
      </c>
      <c r="H16" s="3" t="b">
        <v>1</v>
      </c>
      <c r="I16" s="3">
        <v>550.0</v>
      </c>
      <c r="J16" s="3">
        <v>420.0</v>
      </c>
      <c r="K16" s="3">
        <v>12.0</v>
      </c>
      <c r="L16" s="3" t="s">
        <v>130</v>
      </c>
      <c r="Q16" s="3" t="b">
        <v>1</v>
      </c>
      <c r="T16" s="3" t="b">
        <v>1</v>
      </c>
    </row>
    <row r="17">
      <c r="A17" s="3" t="s">
        <v>131</v>
      </c>
      <c r="B17" s="3">
        <v>55.0</v>
      </c>
      <c r="C17" s="3">
        <v>30.0</v>
      </c>
      <c r="D17" s="3">
        <v>900.0</v>
      </c>
      <c r="E17" s="3">
        <v>40.0</v>
      </c>
      <c r="F17" s="3">
        <v>280.0</v>
      </c>
      <c r="G17" s="3">
        <v>70.0</v>
      </c>
      <c r="H17" s="3" t="b">
        <v>1</v>
      </c>
      <c r="I17" s="3">
        <v>1600.0</v>
      </c>
      <c r="J17" s="3">
        <v>240.0</v>
      </c>
      <c r="K17" s="3">
        <v>25.0</v>
      </c>
      <c r="L17" s="3" t="s">
        <v>132</v>
      </c>
      <c r="N17" s="3" t="b">
        <v>1</v>
      </c>
      <c r="O17" s="3">
        <v>150.0</v>
      </c>
      <c r="P17" s="3">
        <v>50.0</v>
      </c>
      <c r="T17" s="3" t="b">
        <v>1</v>
      </c>
    </row>
    <row r="18">
      <c r="A18" s="3" t="s">
        <v>133</v>
      </c>
      <c r="B18" s="3">
        <v>48.0</v>
      </c>
      <c r="C18" s="3">
        <v>42.0</v>
      </c>
      <c r="D18" s="3">
        <v>700.0</v>
      </c>
      <c r="E18" s="3">
        <v>45.0</v>
      </c>
      <c r="F18" s="3">
        <v>260.0</v>
      </c>
      <c r="G18" s="3">
        <v>65.0</v>
      </c>
      <c r="H18" s="3" t="b">
        <v>1</v>
      </c>
      <c r="I18" s="3">
        <v>1200.0</v>
      </c>
      <c r="J18" s="3">
        <v>300.0</v>
      </c>
      <c r="K18" s="3">
        <v>18.0</v>
      </c>
      <c r="L18" s="3" t="s">
        <v>134</v>
      </c>
      <c r="M18" s="3" t="b">
        <v>1</v>
      </c>
      <c r="T18" s="3" t="b">
        <v>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T$18"/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0"/>
    <col customWidth="1" min="2" max="2" width="8.0"/>
    <col customWidth="1" min="3" max="26" width="8.71"/>
  </cols>
  <sheetData>
    <row r="1">
      <c r="A1" s="1" t="s">
        <v>135</v>
      </c>
      <c r="B1" s="1" t="s">
        <v>136</v>
      </c>
    </row>
    <row r="2">
      <c r="A2" s="3" t="s">
        <v>137</v>
      </c>
      <c r="B2" s="3">
        <v>4.0</v>
      </c>
    </row>
    <row r="3">
      <c r="A3" s="3" t="s">
        <v>138</v>
      </c>
      <c r="B3" s="3">
        <v>0.75</v>
      </c>
    </row>
    <row r="4">
      <c r="A4" s="3" t="s">
        <v>139</v>
      </c>
      <c r="B4" s="3">
        <v>1.04</v>
      </c>
    </row>
    <row r="5">
      <c r="A5" s="3" t="s">
        <v>140</v>
      </c>
      <c r="B5" s="3">
        <v>400.0</v>
      </c>
    </row>
    <row r="6">
      <c r="A6" s="3" t="s">
        <v>141</v>
      </c>
      <c r="B6" s="3">
        <v>0.18</v>
      </c>
    </row>
    <row r="7">
      <c r="A7" s="3" t="s">
        <v>142</v>
      </c>
      <c r="B7" s="3">
        <v>0.15</v>
      </c>
    </row>
    <row r="8">
      <c r="A8" s="3" t="s">
        <v>143</v>
      </c>
      <c r="B8" s="3">
        <v>25.0</v>
      </c>
    </row>
    <row r="9">
      <c r="A9" s="3" t="s">
        <v>144</v>
      </c>
      <c r="B9" s="3">
        <v>35.0</v>
      </c>
    </row>
    <row r="10">
      <c r="A10" s="3" t="s">
        <v>145</v>
      </c>
      <c r="B10" s="3">
        <v>40.0</v>
      </c>
    </row>
    <row r="11">
      <c r="A11" s="3" t="s">
        <v>146</v>
      </c>
      <c r="B11" s="3">
        <v>1000.0</v>
      </c>
    </row>
    <row r="12">
      <c r="A12" s="3" t="s">
        <v>147</v>
      </c>
      <c r="B12" s="3">
        <v>50.0</v>
      </c>
    </row>
    <row r="13">
      <c r="A13" s="3" t="s">
        <v>148</v>
      </c>
      <c r="B13" s="3">
        <v>300.0</v>
      </c>
    </row>
    <row r="14">
      <c r="A14" s="3" t="s">
        <v>149</v>
      </c>
      <c r="B14" s="3">
        <v>0.4</v>
      </c>
    </row>
    <row r="15">
      <c r="A15" s="3" t="s">
        <v>150</v>
      </c>
      <c r="B15" s="3">
        <v>5.0</v>
      </c>
    </row>
    <row r="16">
      <c r="A16" s="3" t="s">
        <v>151</v>
      </c>
      <c r="B16" s="3">
        <v>3.0</v>
      </c>
    </row>
    <row r="17">
      <c r="A17" s="3" t="s">
        <v>152</v>
      </c>
      <c r="B17" s="3">
        <v>20.0</v>
      </c>
    </row>
    <row r="18">
      <c r="A18" s="3" t="s">
        <v>153</v>
      </c>
      <c r="B18" s="3">
        <v>1.5</v>
      </c>
    </row>
    <row r="19">
      <c r="A19" s="3" t="s">
        <v>154</v>
      </c>
      <c r="B19" s="3">
        <v>300.0</v>
      </c>
    </row>
    <row r="20">
      <c r="A20" s="3" t="s">
        <v>155</v>
      </c>
      <c r="B20" s="3">
        <v>100.0</v>
      </c>
    </row>
    <row r="21" ht="15.75" customHeight="1">
      <c r="A21" s="3" t="s">
        <v>156</v>
      </c>
      <c r="B21" s="3">
        <v>0.6</v>
      </c>
    </row>
    <row r="22" ht="15.75" customHeight="1">
      <c r="A22" s="3" t="s">
        <v>157</v>
      </c>
      <c r="B22" s="3">
        <v>1.0</v>
      </c>
    </row>
    <row r="23" ht="15.75" customHeight="1">
      <c r="A23" s="3" t="s">
        <v>158</v>
      </c>
      <c r="B23" s="3">
        <v>0.4</v>
      </c>
    </row>
    <row r="24" ht="15.75" customHeight="1">
      <c r="A24" s="3" t="s">
        <v>159</v>
      </c>
      <c r="B24" s="3">
        <v>0.2</v>
      </c>
    </row>
    <row r="25" ht="15.75" customHeight="1">
      <c r="A25" s="3" t="s">
        <v>160</v>
      </c>
      <c r="B25" s="3">
        <v>3.0</v>
      </c>
    </row>
    <row r="26" ht="15.75" customHeight="1">
      <c r="A26" s="3" t="s">
        <v>161</v>
      </c>
      <c r="B26" s="3">
        <v>0.15</v>
      </c>
    </row>
    <row r="27" ht="15.75" customHeight="1">
      <c r="A27" s="3" t="s">
        <v>162</v>
      </c>
      <c r="B27" s="3">
        <v>0.3</v>
      </c>
    </row>
    <row r="28" ht="15.75" customHeight="1">
      <c r="A28" s="3" t="s">
        <v>163</v>
      </c>
      <c r="B28" s="3">
        <v>0.3</v>
      </c>
    </row>
    <row r="29" ht="15.75" customHeight="1">
      <c r="A29" s="3" t="s">
        <v>164</v>
      </c>
      <c r="B29" s="3">
        <v>0.5</v>
      </c>
    </row>
    <row r="30" ht="15.75" customHeight="1">
      <c r="A30" s="3" t="s">
        <v>165</v>
      </c>
      <c r="B30" s="3">
        <v>0.2</v>
      </c>
    </row>
    <row r="31" ht="15.75" customHeight="1">
      <c r="A31" s="3" t="s">
        <v>166</v>
      </c>
      <c r="B31" s="3">
        <v>300.0</v>
      </c>
    </row>
    <row r="32" ht="15.75" customHeight="1">
      <c r="A32" s="3" t="s">
        <v>167</v>
      </c>
      <c r="B32" s="3">
        <v>400.0</v>
      </c>
    </row>
    <row r="33" ht="15.75" customHeight="1">
      <c r="A33" s="3" t="s">
        <v>168</v>
      </c>
      <c r="B33" s="3">
        <v>35.0</v>
      </c>
    </row>
    <row r="34" ht="15.75" customHeight="1">
      <c r="A34" s="3" t="s">
        <v>169</v>
      </c>
      <c r="B34" s="3">
        <v>5.0</v>
      </c>
    </row>
    <row r="35" ht="15.75" customHeight="1">
      <c r="A35" s="3" t="s">
        <v>170</v>
      </c>
      <c r="B35" s="3">
        <v>1.3</v>
      </c>
    </row>
    <row r="36" ht="15.75" customHeight="1">
      <c r="A36" s="3" t="s">
        <v>171</v>
      </c>
      <c r="B36" s="3">
        <v>1.1</v>
      </c>
    </row>
    <row r="37" ht="15.75" customHeight="1">
      <c r="A37" s="3" t="s">
        <v>172</v>
      </c>
      <c r="B37" s="3">
        <v>1.1</v>
      </c>
    </row>
    <row r="38" ht="15.75" customHeight="1">
      <c r="A38" s="3" t="s">
        <v>173</v>
      </c>
      <c r="B38" s="3">
        <v>0.1</v>
      </c>
    </row>
    <row r="39" ht="15.75" customHeight="1">
      <c r="A39" s="3" t="s">
        <v>174</v>
      </c>
      <c r="B39" s="3">
        <v>0.2</v>
      </c>
    </row>
    <row r="40" ht="15.75" customHeight="1">
      <c r="A40" s="3" t="s">
        <v>175</v>
      </c>
      <c r="B40" s="3">
        <v>6.0</v>
      </c>
    </row>
    <row r="41" ht="15.75" customHeight="1">
      <c r="A41" s="3" t="s">
        <v>176</v>
      </c>
      <c r="B41" s="3">
        <v>0.3</v>
      </c>
    </row>
    <row r="42" ht="15.75" customHeight="1">
      <c r="A42" s="3" t="s">
        <v>177</v>
      </c>
      <c r="B42" s="3">
        <v>0.16</v>
      </c>
    </row>
    <row r="43" ht="15.75" customHeight="1">
      <c r="A43" s="3" t="s">
        <v>178</v>
      </c>
      <c r="B43" s="3">
        <v>2000.0</v>
      </c>
    </row>
    <row r="44" ht="15.75" customHeight="1">
      <c r="A44" s="3" t="s">
        <v>179</v>
      </c>
      <c r="B44" s="3">
        <v>800.0</v>
      </c>
    </row>
    <row r="45" ht="15.75" customHeight="1">
      <c r="A45" s="3" t="s">
        <v>180</v>
      </c>
      <c r="B45" s="3">
        <v>0.5</v>
      </c>
    </row>
    <row r="46" ht="15.75" customHeight="1">
      <c r="A46" s="3" t="s">
        <v>181</v>
      </c>
      <c r="B46" s="3">
        <v>2.0</v>
      </c>
    </row>
    <row r="47" ht="15.75" customHeight="1">
      <c r="A47" s="3" t="s">
        <v>182</v>
      </c>
      <c r="B47" s="3">
        <v>0.003</v>
      </c>
    </row>
    <row r="48" ht="15.75" customHeight="1">
      <c r="A48" s="3" t="s">
        <v>183</v>
      </c>
      <c r="B48" s="3">
        <v>1.5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B$48"/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3" width="8.0"/>
    <col customWidth="1" min="4" max="4" width="18.0"/>
    <col customWidth="1" min="5" max="6" width="16.0"/>
    <col customWidth="1" min="7" max="26" width="8.71"/>
  </cols>
  <sheetData>
    <row r="1">
      <c r="A1" s="1" t="s">
        <v>48</v>
      </c>
      <c r="B1" s="1" t="s">
        <v>52</v>
      </c>
      <c r="C1" s="1" t="s">
        <v>96</v>
      </c>
      <c r="D1" s="1" t="s">
        <v>54</v>
      </c>
      <c r="E1" s="1" t="s">
        <v>62</v>
      </c>
      <c r="F1" s="1" t="s">
        <v>184</v>
      </c>
    </row>
    <row r="2">
      <c r="A2" s="3" t="s">
        <v>185</v>
      </c>
      <c r="B2" s="3">
        <v>80.0</v>
      </c>
      <c r="C2" s="3">
        <v>192.0</v>
      </c>
      <c r="D2" s="3">
        <v>1.2</v>
      </c>
      <c r="E2" s="3">
        <v>1.0</v>
      </c>
      <c r="F2" s="3" t="s">
        <v>28</v>
      </c>
    </row>
    <row r="3">
      <c r="A3" s="3" t="s">
        <v>186</v>
      </c>
      <c r="B3" s="3">
        <v>70.0</v>
      </c>
      <c r="C3" s="3">
        <v>288.0</v>
      </c>
      <c r="D3" s="3">
        <v>1.0</v>
      </c>
      <c r="E3" s="3">
        <v>1.15</v>
      </c>
      <c r="F3" s="3" t="s">
        <v>25</v>
      </c>
    </row>
    <row r="4">
      <c r="A4" s="3" t="s">
        <v>187</v>
      </c>
      <c r="B4" s="3">
        <v>100.0</v>
      </c>
      <c r="C4" s="3">
        <v>240.0</v>
      </c>
      <c r="D4" s="3">
        <v>1.0</v>
      </c>
      <c r="E4" s="3">
        <v>1.0</v>
      </c>
      <c r="F4" s="3" t="s">
        <v>22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4"/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8.0"/>
    <col customWidth="1" min="4" max="4" width="10.0"/>
    <col customWidth="1" min="5" max="6" width="8.0"/>
    <col customWidth="1" min="7" max="8" width="10.0"/>
    <col customWidth="1" min="9" max="9" width="8.71"/>
    <col customWidth="1" min="10" max="12" width="8.0"/>
    <col customWidth="1" min="13" max="26" width="8.71"/>
  </cols>
  <sheetData>
    <row r="1">
      <c r="A1" s="1" t="s">
        <v>188</v>
      </c>
      <c r="B1" s="1" t="s">
        <v>111</v>
      </c>
      <c r="C1" s="1" t="s">
        <v>117</v>
      </c>
      <c r="D1" s="1" t="s">
        <v>119</v>
      </c>
      <c r="E1" s="1" t="s">
        <v>112</v>
      </c>
      <c r="F1" s="1" t="s">
        <v>118</v>
      </c>
      <c r="G1" s="1" t="s">
        <v>120</v>
      </c>
      <c r="H1" s="1" t="s">
        <v>116</v>
      </c>
      <c r="I1" s="1" t="s">
        <v>121</v>
      </c>
      <c r="J1" s="1" t="s">
        <v>115</v>
      </c>
      <c r="K1" s="1" t="s">
        <v>113</v>
      </c>
      <c r="L1" s="1" t="s">
        <v>107</v>
      </c>
    </row>
    <row r="2">
      <c r="A2" s="3">
        <v>1.0</v>
      </c>
      <c r="B2" s="3">
        <v>1.0</v>
      </c>
    </row>
    <row r="3">
      <c r="A3" s="3">
        <v>2.0</v>
      </c>
      <c r="B3" s="3">
        <v>0.6</v>
      </c>
      <c r="E3" s="3">
        <v>0.4</v>
      </c>
    </row>
    <row r="4">
      <c r="A4" s="3">
        <v>3.0</v>
      </c>
      <c r="B4" s="3">
        <v>0.4</v>
      </c>
      <c r="E4" s="3">
        <v>0.3</v>
      </c>
      <c r="J4" s="3">
        <v>0.3</v>
      </c>
    </row>
    <row r="5">
      <c r="A5" s="3">
        <v>4.0</v>
      </c>
      <c r="B5" s="3">
        <v>0.3</v>
      </c>
      <c r="E5" s="3">
        <v>0.2</v>
      </c>
      <c r="J5" s="3">
        <v>0.25</v>
      </c>
      <c r="K5" s="3">
        <v>0.25</v>
      </c>
    </row>
    <row r="6">
      <c r="A6" s="3">
        <v>5.0</v>
      </c>
      <c r="B6" s="3">
        <v>0.25</v>
      </c>
      <c r="E6" s="3">
        <v>0.15</v>
      </c>
      <c r="J6" s="3">
        <v>0.2</v>
      </c>
      <c r="K6" s="3">
        <v>0.1</v>
      </c>
      <c r="L6" s="3">
        <v>0.3</v>
      </c>
    </row>
    <row r="7">
      <c r="A7" s="3">
        <v>6.0</v>
      </c>
      <c r="B7" s="3">
        <v>0.2</v>
      </c>
      <c r="E7" s="3">
        <v>0.15</v>
      </c>
      <c r="H7" s="3">
        <v>0.2</v>
      </c>
      <c r="J7" s="3">
        <v>0.15</v>
      </c>
      <c r="K7" s="3">
        <v>0.15</v>
      </c>
      <c r="L7" s="3">
        <v>0.15</v>
      </c>
    </row>
    <row r="8">
      <c r="A8" s="3">
        <v>7.0</v>
      </c>
      <c r="B8" s="3">
        <v>0.15</v>
      </c>
      <c r="D8" s="3">
        <v>0.15</v>
      </c>
      <c r="E8" s="3">
        <v>0.15</v>
      </c>
      <c r="H8" s="3">
        <v>0.15</v>
      </c>
      <c r="J8" s="3">
        <v>0.15</v>
      </c>
      <c r="K8" s="3">
        <v>0.1</v>
      </c>
      <c r="L8" s="3">
        <v>0.15</v>
      </c>
    </row>
    <row r="9">
      <c r="A9" s="3">
        <v>8.0</v>
      </c>
      <c r="B9" s="3">
        <v>0.1</v>
      </c>
      <c r="D9" s="3">
        <v>0.12</v>
      </c>
      <c r="E9" s="3">
        <v>0.1</v>
      </c>
      <c r="F9" s="3">
        <v>0.13</v>
      </c>
      <c r="H9" s="3">
        <v>0.15</v>
      </c>
      <c r="J9" s="3">
        <v>0.15</v>
      </c>
      <c r="K9" s="3">
        <v>0.1</v>
      </c>
      <c r="L9" s="3">
        <v>0.15</v>
      </c>
    </row>
    <row r="10">
      <c r="A10" s="3">
        <v>9.0</v>
      </c>
      <c r="B10" s="3">
        <v>0.1</v>
      </c>
      <c r="D10" s="3">
        <v>0.1</v>
      </c>
      <c r="E10" s="3">
        <v>0.1</v>
      </c>
      <c r="F10" s="3">
        <v>0.12</v>
      </c>
      <c r="G10" s="3">
        <v>0.13</v>
      </c>
      <c r="H10" s="3">
        <v>0.1</v>
      </c>
      <c r="J10" s="3">
        <v>0.15</v>
      </c>
      <c r="K10" s="3">
        <v>0.1</v>
      </c>
      <c r="L10" s="3">
        <v>0.1</v>
      </c>
    </row>
    <row r="11">
      <c r="A11" s="3">
        <v>10.0</v>
      </c>
      <c r="B11" s="3">
        <v>0.08</v>
      </c>
      <c r="D11" s="3">
        <v>0.1</v>
      </c>
      <c r="E11" s="3">
        <v>0.08</v>
      </c>
      <c r="F11" s="3">
        <v>0.1</v>
      </c>
      <c r="G11" s="3">
        <v>0.1</v>
      </c>
      <c r="H11" s="3">
        <v>0.1</v>
      </c>
      <c r="I11" s="3">
        <v>0.12</v>
      </c>
      <c r="J11" s="3">
        <v>0.12</v>
      </c>
      <c r="K11" s="3">
        <v>0.1</v>
      </c>
      <c r="L11" s="3">
        <v>0.1</v>
      </c>
    </row>
    <row r="12">
      <c r="A12" s="3">
        <v>11.0</v>
      </c>
      <c r="B12" s="3">
        <v>0.07</v>
      </c>
      <c r="C12" s="3">
        <v>0.08</v>
      </c>
      <c r="D12" s="3">
        <v>0.1</v>
      </c>
      <c r="E12" s="3">
        <v>0.07</v>
      </c>
      <c r="F12" s="3">
        <v>0.1</v>
      </c>
      <c r="G12" s="3">
        <v>0.08</v>
      </c>
      <c r="H12" s="3">
        <v>0.1</v>
      </c>
      <c r="I12" s="3">
        <v>0.1</v>
      </c>
      <c r="J12" s="3">
        <v>0.1</v>
      </c>
      <c r="K12" s="3">
        <v>0.1</v>
      </c>
      <c r="L12" s="3">
        <v>0.1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12"/>
  <printOptions/>
  <pageMargins bottom="0.75" footer="0.0" header="0.0" left="0.7" right="0.7" top="0.75"/>
  <pageSetup orientation="portrait"/>
  <drawing r:id="rId1"/>
</worksheet>
</file>